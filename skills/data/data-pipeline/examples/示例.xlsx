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pascal\.openclaw\workspace-yquant\skills\data\data-pipeline\scripts\"/>
    </mc:Choice>
  </mc:AlternateContent>
  <xr:revisionPtr revIDLastSave="0" documentId="13_ncr:1_{A78CC744-A0A4-41A5-ADE2-D56A917312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<sst xmlns="http://schemas.openxmlformats.org/spreadsheetml/2006/main" count="131" uniqueCount="75">
  <si>
    <t>截止日期</t>
  </si>
  <si>
    <t>产品名称</t>
  </si>
  <si>
    <t>Wind代码</t>
  </si>
  <si>
    <t>资产名称</t>
  </si>
  <si>
    <t>持仓比例</t>
  </si>
  <si>
    <t>数量</t>
  </si>
  <si>
    <t>市值(本币)</t>
  </si>
  <si>
    <t>景顺1号-2.3e</t>
  </si>
  <si>
    <t>603737.SH</t>
  </si>
  <si>
    <t>三棵树</t>
  </si>
  <si>
    <t>300776.SZ</t>
  </si>
  <si>
    <t>帝尔激光</t>
  </si>
  <si>
    <t>600732.SH</t>
  </si>
  <si>
    <t>爱旭股份</t>
  </si>
  <si>
    <t>002916.SZ</t>
  </si>
  <si>
    <t>深南电路</t>
  </si>
  <si>
    <t>景顺1号-2.1e</t>
  </si>
  <si>
    <t>9992.HK</t>
  </si>
  <si>
    <t>泡泡玛特</t>
  </si>
  <si>
    <t>景顺1号-1.1e</t>
  </si>
  <si>
    <t>601899.SH</t>
  </si>
  <si>
    <t>紫金矿业</t>
  </si>
  <si>
    <t>600961.SH</t>
  </si>
  <si>
    <t>株冶集团</t>
  </si>
  <si>
    <t>0425.HK</t>
  </si>
  <si>
    <t>敏实集团</t>
  </si>
  <si>
    <t>000338.SZ</t>
  </si>
  <si>
    <t>潍柴动力</t>
  </si>
  <si>
    <t>002353.SZ</t>
  </si>
  <si>
    <t>杰瑞股份</t>
  </si>
  <si>
    <t>600487.SH</t>
  </si>
  <si>
    <t>亨通光电</t>
  </si>
  <si>
    <t>300308.SZ</t>
  </si>
  <si>
    <t>中际旭创</t>
  </si>
  <si>
    <t>中欧1号-1.9e</t>
  </si>
  <si>
    <t>603259.SH</t>
  </si>
  <si>
    <t>药明康德</t>
  </si>
  <si>
    <t>300750.SZ</t>
  </si>
  <si>
    <t>宁德时代</t>
  </si>
  <si>
    <t>688041.SH</t>
  </si>
  <si>
    <t>海光信息</t>
  </si>
  <si>
    <t>601138.SH</t>
  </si>
  <si>
    <t>工业富联</t>
  </si>
  <si>
    <t>中欧2号-1.3e</t>
  </si>
  <si>
    <t>002475.SZ</t>
  </si>
  <si>
    <t>立讯精密</t>
  </si>
  <si>
    <t>603986.SH</t>
  </si>
  <si>
    <t>兆易创新</t>
  </si>
  <si>
    <t>300502.SZ</t>
  </si>
  <si>
    <t>新易盛</t>
  </si>
  <si>
    <t>601288.SH</t>
  </si>
  <si>
    <t>农业银行</t>
  </si>
  <si>
    <t>601939.SH</t>
  </si>
  <si>
    <t>建设银行</t>
  </si>
  <si>
    <t>300394.SZ</t>
  </si>
  <si>
    <t>天孚通信</t>
  </si>
  <si>
    <t>601398.SH</t>
  </si>
  <si>
    <t>工商银行</t>
  </si>
  <si>
    <t>常春藤1号-1.5e</t>
  </si>
  <si>
    <t>000333.SZ</t>
  </si>
  <si>
    <t>美的集团</t>
  </si>
  <si>
    <t>1109.HK</t>
  </si>
  <si>
    <t>华润置地</t>
  </si>
  <si>
    <t>0148.HK</t>
  </si>
  <si>
    <t>建滔集团</t>
  </si>
  <si>
    <t>603855.SH</t>
  </si>
  <si>
    <t>华荣股份</t>
  </si>
  <si>
    <t>最新规模</t>
  </si>
  <si>
    <t>最新份额</t>
  </si>
  <si>
    <t>最新净值</t>
  </si>
  <si>
    <t>产品代码</t>
  </si>
  <si>
    <t>80PF11234</t>
  </si>
  <si>
    <t>80PF11236</t>
  </si>
  <si>
    <t>80PF11237</t>
  </si>
  <si>
    <t>80PF11238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</si>
</sst>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1" applyNumberFormat="1" applyFo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D9" sqref="D9"/>
    </sheetView>
  </sheetViews>
  <sheetFormatPr defaultRowHeight="14.4" x14ac:dyDescent="0.3"/>
  <cols>
    <col min="1" max="1" width="16.6640625" customWidth="1"/>
    <col min="2" max="6" width="16.77734375" customWidth="1"/>
    <col min="7" max="7" width="13.6640625" customWidth="1"/>
    <col min="8" max="8" width="13.33203125" customWidth="1"/>
    <col min="9" max="9" width="14.5546875" style="3" customWidth="1"/>
    <col min="10" max="11" width="17.21875" style="2" customWidth="1"/>
  </cols>
  <sheetData>
    <row r="1" spans="1:11" x14ac:dyDescent="0.3">
      <c r="A1" t="s">
        <v>0</v>
      </c>
      <c r="B1" t="s">
        <v>1</v>
      </c>
      <c r="C1" t="s">
        <v>70</v>
      </c>
      <c r="D1" t="s">
        <v>69</v>
      </c>
      <c r="E1" t="s">
        <v>68</v>
      </c>
      <c r="F1" t="s">
        <v>67</v>
      </c>
      <c r="G1" t="s">
        <v>2</v>
      </c>
      <c r="H1" t="s">
        <v>3</v>
      </c>
      <c r="I1" s="3" t="s">
        <v>4</v>
      </c>
      <c r="J1" s="2" t="s">
        <v>5</v>
      </c>
      <c r="K1" s="2" t="s">
        <v>6</v>
      </c>
    </row>
    <row r="2" spans="1:11" x14ac:dyDescent="0.3">
      <c r="A2" s="1">
        <v>46135</v>
      </c>
      <c r="B2" t="s">
        <v>7</v>
      </c>
      <c r="C2" t="s">
        <v>71</v>
      </c>
      <c r="D2">
        <v>1.1000000000000001</v>
      </c>
      <c r="E2">
        <f>F2/D2</f>
        <v>209090909.09090906</v>
      </c>
      <c r="F2" s="4">
        <v>230000000</v>
      </c>
      <c r="G2" t="s">
        <v>8</v>
      </c>
      <c r="H2" t="s">
        <v>9</v>
      </c>
      <c r="I2" s="3">
        <v>5.5399999999999998E-2</v>
      </c>
      <c r="J2" s="2">
        <v>291046</v>
      </c>
      <c r="K2" s="2">
        <v>12707068.359999999</v>
      </c>
    </row>
    <row r="3" spans="1:11" x14ac:dyDescent="0.3">
      <c r="A3" s="1">
        <v>46135</v>
      </c>
      <c r="B3" t="s">
        <v>7</v>
      </c>
      <c r="C3" t="s">
        <v>71</v>
      </c>
      <c r="D3">
        <v>1.1000000000000001</v>
      </c>
      <c r="E3">
        <f t="shared" ref="E3:E31" si="0">F3/D3</f>
        <v>209090909.09090906</v>
      </c>
      <c r="F3" s="4">
        <v>230000000</v>
      </c>
      <c r="G3" t="s">
        <v>10</v>
      </c>
      <c r="H3" t="s">
        <v>11</v>
      </c>
      <c r="I3" s="3">
        <v>5.21E-2</v>
      </c>
      <c r="J3" s="2">
        <v>104400</v>
      </c>
      <c r="K3" s="2">
        <v>11955888</v>
      </c>
    </row>
    <row r="4" spans="1:11" x14ac:dyDescent="0.3">
      <c r="A4" s="1">
        <v>46135</v>
      </c>
      <c r="B4" t="s">
        <v>7</v>
      </c>
      <c r="C4" t="s">
        <v>71</v>
      </c>
      <c r="D4">
        <v>1.1000000000000001</v>
      </c>
      <c r="E4">
        <f t="shared" si="0"/>
        <v>209090909.09090906</v>
      </c>
      <c r="F4" s="4">
        <v>230000000</v>
      </c>
      <c r="G4" t="s">
        <v>12</v>
      </c>
      <c r="H4" t="s">
        <v>13</v>
      </c>
      <c r="I4" s="3">
        <v>4.65E-2</v>
      </c>
      <c r="J4" s="2">
        <v>686420</v>
      </c>
      <c r="K4" s="2">
        <v>10685695.199999999</v>
      </c>
    </row>
    <row r="5" spans="1:11" x14ac:dyDescent="0.3">
      <c r="A5" s="1">
        <v>46135</v>
      </c>
      <c r="B5" t="s">
        <v>7</v>
      </c>
      <c r="C5" t="s">
        <v>71</v>
      </c>
      <c r="D5">
        <v>1.1000000000000001</v>
      </c>
      <c r="E5">
        <f t="shared" si="0"/>
        <v>209090909.09090906</v>
      </c>
      <c r="F5" s="4">
        <v>230000000</v>
      </c>
      <c r="G5" t="s">
        <v>14</v>
      </c>
      <c r="H5" t="s">
        <v>15</v>
      </c>
      <c r="I5" s="3">
        <v>4.2500000000000003E-2</v>
      </c>
      <c r="J5" s="2">
        <v>32400</v>
      </c>
      <c r="K5" s="2">
        <v>9762120</v>
      </c>
    </row>
    <row r="6" spans="1:11" x14ac:dyDescent="0.3">
      <c r="A6" s="1">
        <v>46135</v>
      </c>
      <c r="B6" t="s">
        <v>16</v>
      </c>
      <c r="C6" t="s">
        <v>71</v>
      </c>
      <c r="D6">
        <v>1.1000000000000001</v>
      </c>
      <c r="E6">
        <f t="shared" si="0"/>
        <v>209090909.09090906</v>
      </c>
      <c r="F6" s="4">
        <v>230000000</v>
      </c>
      <c r="G6" t="s">
        <v>17</v>
      </c>
      <c r="H6" t="s">
        <v>18</v>
      </c>
      <c r="I6" s="3">
        <v>9.0200000000000002E-2</v>
      </c>
      <c r="J6" s="2">
        <v>81000</v>
      </c>
      <c r="K6" s="2">
        <v>11046803.33</v>
      </c>
    </row>
    <row r="7" spans="1:11" x14ac:dyDescent="0.3">
      <c r="A7" s="1">
        <v>46135</v>
      </c>
      <c r="B7" t="s">
        <v>19</v>
      </c>
      <c r="C7" t="s">
        <v>71</v>
      </c>
      <c r="D7">
        <v>1.1000000000000001</v>
      </c>
      <c r="E7">
        <f t="shared" si="0"/>
        <v>209090909.09090906</v>
      </c>
      <c r="F7" s="4">
        <v>230000000</v>
      </c>
      <c r="G7" t="s">
        <v>20</v>
      </c>
      <c r="H7" t="s">
        <v>21</v>
      </c>
      <c r="I7" s="3">
        <v>6.7900000000000002E-2</v>
      </c>
      <c r="J7" s="2">
        <v>241900</v>
      </c>
      <c r="K7" s="2">
        <v>8321360</v>
      </c>
    </row>
    <row r="8" spans="1:11" x14ac:dyDescent="0.3">
      <c r="A8" s="1">
        <v>46135</v>
      </c>
      <c r="B8" t="s">
        <v>19</v>
      </c>
      <c r="C8" t="s">
        <v>71</v>
      </c>
      <c r="D8">
        <v>1.1000000000000001</v>
      </c>
      <c r="E8">
        <f t="shared" si="0"/>
        <v>209090909.09090906</v>
      </c>
      <c r="F8" s="4">
        <v>230000000</v>
      </c>
      <c r="G8" t="s">
        <v>22</v>
      </c>
      <c r="H8" t="s">
        <v>23</v>
      </c>
      <c r="I8" s="3">
        <v>5.2600000000000001E-2</v>
      </c>
      <c r="J8" s="2">
        <v>220900</v>
      </c>
      <c r="K8" s="2">
        <v>6441444</v>
      </c>
    </row>
    <row r="9" spans="1:11" x14ac:dyDescent="0.3">
      <c r="A9" s="1">
        <v>46135</v>
      </c>
      <c r="B9" t="s">
        <v>19</v>
      </c>
      <c r="C9" t="s">
        <v>71</v>
      </c>
      <c r="D9">
        <v>1.1000000000000001</v>
      </c>
      <c r="E9">
        <f t="shared" si="0"/>
        <v>209090909.09090906</v>
      </c>
      <c r="F9" s="4">
        <v>230000000</v>
      </c>
      <c r="G9" t="s">
        <v>24</v>
      </c>
      <c r="H9" t="s">
        <v>25</v>
      </c>
      <c r="I9" s="3">
        <v>4.2900000000000001E-2</v>
      </c>
      <c r="J9" s="2">
        <v>172000</v>
      </c>
      <c r="K9" s="2">
        <v>5255303.96</v>
      </c>
    </row>
    <row r="10" spans="1:11" x14ac:dyDescent="0.3">
      <c r="A10" s="1">
        <v>46135</v>
      </c>
      <c r="B10" t="s">
        <v>19</v>
      </c>
      <c r="C10" t="s">
        <v>71</v>
      </c>
      <c r="D10">
        <v>1.1000000000000001</v>
      </c>
      <c r="E10">
        <f t="shared" si="0"/>
        <v>209090909.09090906</v>
      </c>
      <c r="F10" s="4">
        <v>230000000</v>
      </c>
      <c r="G10" t="s">
        <v>26</v>
      </c>
      <c r="H10" t="s">
        <v>27</v>
      </c>
      <c r="I10" s="3">
        <v>4.1599999999999998E-2</v>
      </c>
      <c r="J10" s="2">
        <v>172700</v>
      </c>
      <c r="K10" s="2">
        <v>5092923</v>
      </c>
    </row>
    <row r="11" spans="1:11" x14ac:dyDescent="0.3">
      <c r="A11" s="1">
        <v>46135</v>
      </c>
      <c r="B11" t="s">
        <v>19</v>
      </c>
      <c r="C11" t="s">
        <v>71</v>
      </c>
      <c r="D11">
        <v>1.1000000000000001</v>
      </c>
      <c r="E11">
        <f t="shared" si="0"/>
        <v>209090909.09090906</v>
      </c>
      <c r="F11" s="4">
        <v>230000000</v>
      </c>
      <c r="G11" t="s">
        <v>28</v>
      </c>
      <c r="H11" t="s">
        <v>29</v>
      </c>
      <c r="I11" s="3">
        <v>4.1399999999999999E-2</v>
      </c>
      <c r="J11" s="2">
        <v>38900</v>
      </c>
      <c r="K11" s="2">
        <v>5072171</v>
      </c>
    </row>
    <row r="12" spans="1:11" x14ac:dyDescent="0.3">
      <c r="A12" s="1">
        <v>46135</v>
      </c>
      <c r="B12" t="s">
        <v>19</v>
      </c>
      <c r="C12" t="s">
        <v>71</v>
      </c>
      <c r="D12">
        <v>1.1000000000000001</v>
      </c>
      <c r="E12">
        <f t="shared" si="0"/>
        <v>209090909.09090906</v>
      </c>
      <c r="F12" s="4">
        <v>230000000</v>
      </c>
      <c r="G12" t="s">
        <v>30</v>
      </c>
      <c r="H12" t="s">
        <v>31</v>
      </c>
      <c r="I12" s="3">
        <v>4.1200000000000001E-2</v>
      </c>
      <c r="J12" s="2">
        <v>72700</v>
      </c>
      <c r="K12" s="2">
        <v>5054104</v>
      </c>
    </row>
    <row r="13" spans="1:11" x14ac:dyDescent="0.3">
      <c r="A13" s="1">
        <v>46135</v>
      </c>
      <c r="B13" t="s">
        <v>19</v>
      </c>
      <c r="C13" t="s">
        <v>71</v>
      </c>
      <c r="D13">
        <v>1.1000000000000001</v>
      </c>
      <c r="E13">
        <f t="shared" si="0"/>
        <v>209090909.09090906</v>
      </c>
      <c r="F13" s="4">
        <v>230000000</v>
      </c>
      <c r="G13" t="s">
        <v>32</v>
      </c>
      <c r="H13" t="s">
        <v>33</v>
      </c>
      <c r="I13" s="3">
        <v>7.5999999999999998E-2</v>
      </c>
      <c r="J13" s="2">
        <v>15400</v>
      </c>
      <c r="K13" s="2">
        <v>13813800</v>
      </c>
    </row>
    <row r="14" spans="1:11" x14ac:dyDescent="0.3">
      <c r="A14" s="1">
        <v>46135</v>
      </c>
      <c r="B14" t="s">
        <v>34</v>
      </c>
      <c r="C14" t="s">
        <v>72</v>
      </c>
      <c r="D14">
        <v>1.05</v>
      </c>
      <c r="E14">
        <f t="shared" si="0"/>
        <v>180952380.95238096</v>
      </c>
      <c r="F14" s="4">
        <v>190000000</v>
      </c>
      <c r="G14" t="s">
        <v>35</v>
      </c>
      <c r="H14" t="s">
        <v>36</v>
      </c>
      <c r="I14" s="3">
        <v>5.4399999999999997E-2</v>
      </c>
      <c r="J14" s="2">
        <v>98800</v>
      </c>
      <c r="K14" s="2">
        <v>9898772</v>
      </c>
    </row>
    <row r="15" spans="1:11" x14ac:dyDescent="0.3">
      <c r="A15" s="1">
        <v>46135</v>
      </c>
      <c r="B15" t="s">
        <v>34</v>
      </c>
      <c r="C15" t="s">
        <v>72</v>
      </c>
      <c r="D15">
        <v>1.05</v>
      </c>
      <c r="E15">
        <f t="shared" si="0"/>
        <v>180952380.95238096</v>
      </c>
      <c r="F15" s="4">
        <v>190000000</v>
      </c>
      <c r="G15" t="s">
        <v>37</v>
      </c>
      <c r="H15" t="s">
        <v>38</v>
      </c>
      <c r="I15" s="3">
        <v>5.0200000000000002E-2</v>
      </c>
      <c r="J15" s="2">
        <v>20800</v>
      </c>
      <c r="K15" s="2">
        <v>9128120</v>
      </c>
    </row>
    <row r="16" spans="1:11" x14ac:dyDescent="0.3">
      <c r="A16" s="1">
        <v>46135</v>
      </c>
      <c r="B16" t="s">
        <v>34</v>
      </c>
      <c r="C16" t="s">
        <v>72</v>
      </c>
      <c r="D16">
        <v>1.05</v>
      </c>
      <c r="E16">
        <f t="shared" si="0"/>
        <v>180952380.95238096</v>
      </c>
      <c r="F16" s="4">
        <v>190000000</v>
      </c>
      <c r="G16" t="s">
        <v>39</v>
      </c>
      <c r="H16" t="s">
        <v>40</v>
      </c>
      <c r="I16" s="3">
        <v>4.5699999999999998E-2</v>
      </c>
      <c r="J16" s="2">
        <v>31537</v>
      </c>
      <c r="K16" s="2">
        <v>8306945.7999999998</v>
      </c>
    </row>
    <row r="17" spans="1:11" x14ac:dyDescent="0.3">
      <c r="A17" s="1">
        <v>46135</v>
      </c>
      <c r="B17" t="s">
        <v>34</v>
      </c>
      <c r="C17" t="s">
        <v>72</v>
      </c>
      <c r="D17">
        <v>1.05</v>
      </c>
      <c r="E17">
        <f t="shared" si="0"/>
        <v>180952380.95238096</v>
      </c>
      <c r="F17" s="4">
        <v>190000000</v>
      </c>
      <c r="G17" t="s">
        <v>41</v>
      </c>
      <c r="H17" t="s">
        <v>42</v>
      </c>
      <c r="I17" s="3">
        <v>4.1500000000000002E-2</v>
      </c>
      <c r="J17" s="2">
        <v>111200</v>
      </c>
      <c r="K17" s="2">
        <v>7552704</v>
      </c>
    </row>
    <row r="18" spans="1:11" x14ac:dyDescent="0.3">
      <c r="A18" s="1">
        <v>46135</v>
      </c>
      <c r="B18" t="s">
        <v>43</v>
      </c>
      <c r="C18" t="s">
        <v>73</v>
      </c>
      <c r="D18">
        <v>1.05</v>
      </c>
      <c r="E18">
        <f t="shared" si="0"/>
        <v>123809523.80952381</v>
      </c>
      <c r="F18" s="4">
        <v>130000000</v>
      </c>
      <c r="G18" t="s">
        <v>44</v>
      </c>
      <c r="H18" t="s">
        <v>45</v>
      </c>
      <c r="I18" s="3">
        <v>0.1542</v>
      </c>
      <c r="J18" s="2">
        <v>296100</v>
      </c>
      <c r="K18" s="2">
        <v>20066697</v>
      </c>
    </row>
    <row r="19" spans="1:11" x14ac:dyDescent="0.3">
      <c r="A19" s="1">
        <v>46135</v>
      </c>
      <c r="B19" t="s">
        <v>43</v>
      </c>
      <c r="C19" t="s">
        <v>73</v>
      </c>
      <c r="D19">
        <v>1.05</v>
      </c>
      <c r="E19">
        <f t="shared" si="0"/>
        <v>123809523.80952381</v>
      </c>
      <c r="F19" s="4">
        <v>130000000</v>
      </c>
      <c r="G19" t="s">
        <v>46</v>
      </c>
      <c r="H19" t="s">
        <v>47</v>
      </c>
      <c r="I19" s="3">
        <v>0.13420000000000001</v>
      </c>
      <c r="J19" s="2">
        <v>57300</v>
      </c>
      <c r="K19" s="2">
        <v>17465040</v>
      </c>
    </row>
    <row r="20" spans="1:11" x14ac:dyDescent="0.3">
      <c r="A20" s="1">
        <v>46135</v>
      </c>
      <c r="B20" t="s">
        <v>43</v>
      </c>
      <c r="C20" t="s">
        <v>73</v>
      </c>
      <c r="D20">
        <v>1.05</v>
      </c>
      <c r="E20">
        <f t="shared" si="0"/>
        <v>123809523.80952381</v>
      </c>
      <c r="F20" s="4">
        <v>130000000</v>
      </c>
      <c r="G20" t="s">
        <v>32</v>
      </c>
      <c r="H20" t="s">
        <v>33</v>
      </c>
      <c r="I20" s="3">
        <v>0.12959999999999999</v>
      </c>
      <c r="J20" s="2">
        <v>18800</v>
      </c>
      <c r="K20" s="2">
        <v>16863600</v>
      </c>
    </row>
    <row r="21" spans="1:11" x14ac:dyDescent="0.3">
      <c r="A21" s="1">
        <v>46135</v>
      </c>
      <c r="B21" t="s">
        <v>43</v>
      </c>
      <c r="C21" t="s">
        <v>73</v>
      </c>
      <c r="D21">
        <v>1.05</v>
      </c>
      <c r="E21">
        <f t="shared" si="0"/>
        <v>123809523.80952381</v>
      </c>
      <c r="F21" s="4">
        <v>130000000</v>
      </c>
      <c r="G21" t="s">
        <v>48</v>
      </c>
      <c r="H21" t="s">
        <v>49</v>
      </c>
      <c r="I21" s="3">
        <v>8.2299999999999998E-2</v>
      </c>
      <c r="J21" s="2">
        <v>17600</v>
      </c>
      <c r="K21" s="2">
        <v>10705728</v>
      </c>
    </row>
    <row r="22" spans="1:11" x14ac:dyDescent="0.3">
      <c r="A22" s="1">
        <v>46135</v>
      </c>
      <c r="B22" t="s">
        <v>43</v>
      </c>
      <c r="C22" t="s">
        <v>73</v>
      </c>
      <c r="D22">
        <v>1.05</v>
      </c>
      <c r="E22">
        <f t="shared" si="0"/>
        <v>123809523.80952381</v>
      </c>
      <c r="F22" s="4">
        <v>130000000</v>
      </c>
      <c r="G22" t="s">
        <v>50</v>
      </c>
      <c r="H22" t="s">
        <v>51</v>
      </c>
      <c r="I22" s="3">
        <v>6.0199999999999997E-2</v>
      </c>
      <c r="J22" s="2">
        <v>1114400</v>
      </c>
      <c r="K22" s="2">
        <v>7834232</v>
      </c>
    </row>
    <row r="23" spans="1:11" x14ac:dyDescent="0.3">
      <c r="A23" s="1">
        <v>46135</v>
      </c>
      <c r="B23" t="s">
        <v>43</v>
      </c>
      <c r="C23" t="s">
        <v>73</v>
      </c>
      <c r="D23">
        <v>1.05</v>
      </c>
      <c r="E23">
        <f t="shared" si="0"/>
        <v>123809523.80952381</v>
      </c>
      <c r="F23" s="4">
        <v>130000000</v>
      </c>
      <c r="G23" t="s">
        <v>52</v>
      </c>
      <c r="H23" t="s">
        <v>53</v>
      </c>
      <c r="I23" s="3">
        <v>5.9700000000000003E-2</v>
      </c>
      <c r="J23" s="2">
        <v>797800</v>
      </c>
      <c r="K23" s="2">
        <v>7762594</v>
      </c>
    </row>
    <row r="24" spans="1:11" x14ac:dyDescent="0.3">
      <c r="A24" s="1">
        <v>46135</v>
      </c>
      <c r="B24" t="s">
        <v>43</v>
      </c>
      <c r="C24" t="s">
        <v>73</v>
      </c>
      <c r="D24">
        <v>1.05</v>
      </c>
      <c r="E24">
        <f t="shared" si="0"/>
        <v>123809523.80952381</v>
      </c>
      <c r="F24" s="4">
        <v>130000000</v>
      </c>
      <c r="G24" t="s">
        <v>54</v>
      </c>
      <c r="H24" t="s">
        <v>55</v>
      </c>
      <c r="I24" s="3">
        <v>4.7899999999999998E-2</v>
      </c>
      <c r="J24" s="2">
        <v>17800</v>
      </c>
      <c r="K24" s="2">
        <v>6231602</v>
      </c>
    </row>
    <row r="25" spans="1:11" x14ac:dyDescent="0.3">
      <c r="A25" s="1">
        <v>46135</v>
      </c>
      <c r="B25" t="s">
        <v>43</v>
      </c>
      <c r="C25" t="s">
        <v>73</v>
      </c>
      <c r="D25">
        <v>1.05</v>
      </c>
      <c r="E25">
        <f t="shared" si="0"/>
        <v>123809523.80952381</v>
      </c>
      <c r="F25" s="4">
        <v>130000000</v>
      </c>
      <c r="G25" t="s">
        <v>56</v>
      </c>
      <c r="H25" t="s">
        <v>57</v>
      </c>
      <c r="I25" s="3">
        <v>4.4299999999999999E-2</v>
      </c>
      <c r="J25" s="2">
        <v>760400</v>
      </c>
      <c r="K25" s="2">
        <v>5763832</v>
      </c>
    </row>
    <row r="26" spans="1:11" x14ac:dyDescent="0.3">
      <c r="A26" s="1">
        <v>46135</v>
      </c>
      <c r="B26" t="s">
        <v>43</v>
      </c>
      <c r="C26" t="s">
        <v>73</v>
      </c>
      <c r="D26">
        <v>1.05</v>
      </c>
      <c r="E26">
        <f t="shared" si="0"/>
        <v>123809523.80952381</v>
      </c>
      <c r="F26" s="4">
        <v>130000000</v>
      </c>
      <c r="G26" t="s">
        <v>37</v>
      </c>
      <c r="H26" t="s">
        <v>38</v>
      </c>
      <c r="I26" s="3">
        <v>4.0800000000000003E-2</v>
      </c>
      <c r="J26" s="2">
        <v>12100</v>
      </c>
      <c r="K26" s="2">
        <v>5310690</v>
      </c>
    </row>
    <row r="27" spans="1:11" x14ac:dyDescent="0.3">
      <c r="A27" s="1">
        <v>46135</v>
      </c>
      <c r="B27" t="s">
        <v>58</v>
      </c>
      <c r="C27" t="s">
        <v>74</v>
      </c>
      <c r="D27">
        <v>1.22</v>
      </c>
      <c r="E27">
        <f t="shared" si="0"/>
        <v>122950819.67213115</v>
      </c>
      <c r="F27" s="4">
        <v>150000000</v>
      </c>
      <c r="G27" t="s">
        <v>20</v>
      </c>
      <c r="H27" t="s">
        <v>21</v>
      </c>
      <c r="I27" s="3">
        <v>6.7000000000000004E-2</v>
      </c>
      <c r="J27" s="2">
        <v>3200000</v>
      </c>
      <c r="K27" s="2">
        <v>110080000</v>
      </c>
    </row>
    <row r="28" spans="1:11" x14ac:dyDescent="0.3">
      <c r="A28" s="1">
        <v>46135</v>
      </c>
      <c r="B28" t="s">
        <v>58</v>
      </c>
      <c r="C28" t="s">
        <v>74</v>
      </c>
      <c r="D28">
        <v>1.22</v>
      </c>
      <c r="E28">
        <f t="shared" si="0"/>
        <v>122950819.67213115</v>
      </c>
      <c r="F28" s="4">
        <v>150000000</v>
      </c>
      <c r="G28" t="s">
        <v>59</v>
      </c>
      <c r="H28" t="s">
        <v>60</v>
      </c>
      <c r="I28" s="3">
        <v>6.5100000000000005E-2</v>
      </c>
      <c r="J28" s="2">
        <v>1339800</v>
      </c>
      <c r="K28" s="2">
        <v>106983030</v>
      </c>
    </row>
    <row r="29" spans="1:11" x14ac:dyDescent="0.3">
      <c r="A29" s="1">
        <v>46135</v>
      </c>
      <c r="B29" t="s">
        <v>58</v>
      </c>
      <c r="C29" t="s">
        <v>74</v>
      </c>
      <c r="D29">
        <v>1.22</v>
      </c>
      <c r="E29">
        <f t="shared" si="0"/>
        <v>122950819.67213115</v>
      </c>
      <c r="F29" s="4">
        <v>150000000</v>
      </c>
      <c r="G29" t="s">
        <v>61</v>
      </c>
      <c r="H29" t="s">
        <v>62</v>
      </c>
      <c r="I29" s="3">
        <v>5.6899999999999999E-2</v>
      </c>
      <c r="J29" s="2">
        <v>3322500</v>
      </c>
      <c r="K29" s="2">
        <v>93400006.890000001</v>
      </c>
    </row>
    <row r="30" spans="1:11" x14ac:dyDescent="0.3">
      <c r="A30" s="1">
        <v>46135</v>
      </c>
      <c r="B30" t="s">
        <v>58</v>
      </c>
      <c r="C30" t="s">
        <v>74</v>
      </c>
      <c r="D30">
        <v>1.22</v>
      </c>
      <c r="E30">
        <f t="shared" si="0"/>
        <v>122950819.67213115</v>
      </c>
      <c r="F30" s="4">
        <v>150000000</v>
      </c>
      <c r="G30" t="s">
        <v>63</v>
      </c>
      <c r="H30" t="s">
        <v>64</v>
      </c>
      <c r="I30" s="3">
        <v>5.67E-2</v>
      </c>
      <c r="J30" s="2">
        <v>2353500</v>
      </c>
      <c r="K30" s="2">
        <v>93007114.659999996</v>
      </c>
    </row>
    <row r="31" spans="1:11" x14ac:dyDescent="0.3">
      <c r="A31" s="1">
        <v>46135</v>
      </c>
      <c r="B31" t="s">
        <v>58</v>
      </c>
      <c r="C31" t="s">
        <v>74</v>
      </c>
      <c r="D31">
        <v>1.22</v>
      </c>
      <c r="E31">
        <f t="shared" si="0"/>
        <v>122950819.67213115</v>
      </c>
      <c r="F31" s="4">
        <v>150000000</v>
      </c>
      <c r="G31" t="s">
        <v>65</v>
      </c>
      <c r="H31" t="s">
        <v>66</v>
      </c>
      <c r="I31" s="3">
        <v>4.9599999999999998E-2</v>
      </c>
      <c r="J31" s="2">
        <v>4208600</v>
      </c>
      <c r="K31" s="2">
        <v>81436410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Yaqiang Mao</cp:lastModifiedBy>
  <dcterms:created xsi:type="dcterms:W3CDTF">2015-06-05T18:17:20Z</dcterms:created>
  <dcterms:modified xsi:type="dcterms:W3CDTF">2026-05-01T15:55:09Z</dcterms:modified>
</cp:coreProperties>
</file>